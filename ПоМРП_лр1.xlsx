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Лист1" sheetId="1" r:id="rId1"/>
  </sheets>
  <calcPr calcId="124519"/>
</workbook>
</file>

<file path=xl/calcChain.xml><?xml version="1.0" encoding="utf-8"?>
<calcChain xmlns="http://schemas.openxmlformats.org/spreadsheetml/2006/main">
  <c r="D21" i="1"/>
  <c r="D22"/>
  <c r="D20"/>
  <c r="B18"/>
  <c r="G3"/>
  <c r="G4"/>
  <c r="G5"/>
  <c r="G6"/>
  <c r="G7"/>
  <c r="G8"/>
  <c r="G9"/>
  <c r="G10"/>
  <c r="G2"/>
  <c r="K3"/>
  <c r="K6"/>
  <c r="K7"/>
  <c r="K10"/>
  <c r="K2"/>
  <c r="D12"/>
  <c r="K5" s="1"/>
  <c r="B12"/>
  <c r="E3"/>
  <c r="E4"/>
  <c r="E5"/>
  <c r="E6"/>
  <c r="E7"/>
  <c r="E8"/>
  <c r="E9"/>
  <c r="E10"/>
  <c r="E2"/>
  <c r="D11"/>
  <c r="C3"/>
  <c r="C4"/>
  <c r="C5"/>
  <c r="C6"/>
  <c r="C7"/>
  <c r="C8"/>
  <c r="C9"/>
  <c r="C10"/>
  <c r="C2"/>
  <c r="C11" s="1"/>
  <c r="C12" l="1"/>
  <c r="K8"/>
  <c r="K4"/>
  <c r="K9"/>
  <c r="E11"/>
  <c r="B13" s="1"/>
  <c r="B14" s="1"/>
  <c r="F6" l="1"/>
  <c r="F10"/>
  <c r="F4"/>
  <c r="F3"/>
  <c r="F2"/>
  <c r="F5"/>
  <c r="F9"/>
  <c r="F8"/>
  <c r="F7"/>
  <c r="K11"/>
  <c r="H8" l="1"/>
  <c r="I8" s="1"/>
  <c r="H3"/>
  <c r="I3" s="1"/>
  <c r="H7"/>
  <c r="I7" s="1"/>
  <c r="H2"/>
  <c r="I2" s="1"/>
  <c r="H6"/>
  <c r="I6" s="1"/>
  <c r="H5"/>
  <c r="I5" s="1"/>
  <c r="H10"/>
  <c r="I10" s="1"/>
  <c r="H9"/>
  <c r="I9" s="1"/>
  <c r="H4"/>
  <c r="I4" s="1"/>
  <c r="I11" l="1"/>
  <c r="B15" l="1"/>
  <c r="B16" s="1"/>
  <c r="B17"/>
  <c r="J9"/>
  <c r="J7"/>
  <c r="J6"/>
  <c r="J10"/>
  <c r="J8"/>
  <c r="J4"/>
  <c r="J3"/>
  <c r="J2"/>
  <c r="J5"/>
</calcChain>
</file>

<file path=xl/sharedStrings.xml><?xml version="1.0" encoding="utf-8"?>
<sst xmlns="http://schemas.openxmlformats.org/spreadsheetml/2006/main" count="24" uniqueCount="24">
  <si>
    <t>t</t>
  </si>
  <si>
    <r>
      <t>t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</si>
  <si>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t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</si>
  <si>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t </t>
    </r>
    <r>
      <rPr>
        <sz val="11"/>
        <color theme="1"/>
        <rFont val="Calibri"/>
        <family val="2"/>
        <charset val="204"/>
        <scheme val="minor"/>
      </rPr>
      <t>* t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</si>
  <si>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t расчет</t>
    </r>
  </si>
  <si>
    <r>
      <t>U</t>
    </r>
    <r>
      <rPr>
        <vertAlign val="subscript"/>
        <sz val="11"/>
        <color theme="1"/>
        <rFont val="Calibri"/>
        <family val="2"/>
        <charset val="204"/>
        <scheme val="minor"/>
      </rPr>
      <t>t</t>
    </r>
  </si>
  <si>
    <r>
      <t>U</t>
    </r>
    <r>
      <rPr>
        <vertAlign val="subscript"/>
        <sz val="11"/>
        <color theme="1"/>
        <rFont val="Calibri"/>
        <family val="2"/>
        <charset val="204"/>
        <scheme val="minor"/>
      </rPr>
      <t>t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</si>
  <si>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параметр b</t>
  </si>
  <si>
    <t>среднее</t>
  </si>
  <si>
    <t xml:space="preserve">сумма </t>
  </si>
  <si>
    <t>параметр a</t>
  </si>
  <si>
    <t>сигма</t>
  </si>
  <si>
    <t>параметр v</t>
  </si>
  <si>
    <t>год</t>
  </si>
  <si>
    <t xml:space="preserve">исход величина прогнозной оценки </t>
  </si>
  <si>
    <t xml:space="preserve">с вероятностью 95% объем производства будет лежать в пределах </t>
  </si>
  <si>
    <t>от</t>
  </si>
  <si>
    <t>до</t>
  </si>
  <si>
    <t>предполагаемый объем производства</t>
  </si>
  <si>
    <t>сигма t</t>
  </si>
  <si>
    <t>R^2</t>
  </si>
  <si>
    <t>(yt - ytсред)^2</t>
  </si>
  <si>
    <t>ut модуль</t>
  </si>
  <si>
    <t xml:space="preserve"> d среднее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</si>
</sst>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>
      <selection activeCell="E20" sqref="E20"/>
    </sheetView>
  </sheetViews>
  <sheetFormatPr defaultRowHeight="15"/>
  <cols>
    <col min="1" max="1" width="13" customWidth="1"/>
    <col min="2" max="2" width="14.28515625" customWidth="1"/>
    <col min="8" max="8" width="12.42578125" bestFit="1" customWidth="1"/>
    <col min="13" max="13" width="26.28515625" customWidth="1"/>
    <col min="16" max="16" width="33.140625" customWidth="1"/>
  </cols>
  <sheetData>
    <row r="1" spans="1:16" ht="18.7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22</v>
      </c>
      <c r="H1" t="s">
        <v>5</v>
      </c>
      <c r="I1" t="s">
        <v>6</v>
      </c>
      <c r="J1" t="s">
        <v>19</v>
      </c>
      <c r="K1" t="s">
        <v>21</v>
      </c>
      <c r="L1" t="s">
        <v>13</v>
      </c>
      <c r="M1" t="s">
        <v>14</v>
      </c>
      <c r="N1" s="1" t="s">
        <v>15</v>
      </c>
      <c r="O1" s="1"/>
      <c r="P1" t="s">
        <v>18</v>
      </c>
    </row>
    <row r="2" spans="1:16">
      <c r="B2">
        <v>1</v>
      </c>
      <c r="C2">
        <f>B2^2</f>
        <v>1</v>
      </c>
      <c r="D2">
        <v>12</v>
      </c>
      <c r="E2">
        <f>D2*B2</f>
        <v>12</v>
      </c>
      <c r="F2">
        <f>$B$14+$B$13*B2</f>
        <v>8.7777777777777768</v>
      </c>
      <c r="G2">
        <f>ABS(H2)</f>
        <v>3.2222222222222232</v>
      </c>
      <c r="H2">
        <f>D2-F2</f>
        <v>3.2222222222222232</v>
      </c>
      <c r="I2">
        <f>H2^2</f>
        <v>10.382716049382722</v>
      </c>
      <c r="J2">
        <f>F2*$B$16</f>
        <v>1.1630194634443765</v>
      </c>
      <c r="K2">
        <f>(D2-$D$12)^2</f>
        <v>41.530864197530846</v>
      </c>
      <c r="N2" t="s">
        <v>16</v>
      </c>
      <c r="O2" t="s">
        <v>17</v>
      </c>
    </row>
    <row r="3" spans="1:16">
      <c r="B3">
        <v>2</v>
      </c>
      <c r="C3">
        <f t="shared" ref="C3:C10" si="0">B3^2</f>
        <v>4</v>
      </c>
      <c r="D3">
        <v>10</v>
      </c>
      <c r="E3">
        <f t="shared" ref="E3:E10" si="1">D3*B3</f>
        <v>20</v>
      </c>
      <c r="F3">
        <f t="shared" ref="F3:F10" si="2">$B$14+$B$13*B3</f>
        <v>11.194444444444443</v>
      </c>
      <c r="G3">
        <f t="shared" ref="G3:G10" si="3">ABS(H3)</f>
        <v>1.1944444444444429</v>
      </c>
      <c r="H3">
        <f t="shared" ref="H3:H10" si="4">D3-F3</f>
        <v>-1.1944444444444429</v>
      </c>
      <c r="I3">
        <f t="shared" ref="I3:I10" si="5">H3^2</f>
        <v>1.4266975308641938</v>
      </c>
      <c r="J3">
        <f t="shared" ref="J3:J10" si="6">F3*$B$16</f>
        <v>1.4832178600255814</v>
      </c>
      <c r="K3">
        <f t="shared" ref="K3:K10" si="7">(D3-$D$12)^2</f>
        <v>71.308641975308618</v>
      </c>
      <c r="L3">
        <v>2010</v>
      </c>
      <c r="P3">
        <v>36</v>
      </c>
    </row>
    <row r="4" spans="1:16">
      <c r="B4">
        <v>3</v>
      </c>
      <c r="C4">
        <f t="shared" si="0"/>
        <v>9</v>
      </c>
      <c r="D4">
        <v>13</v>
      </c>
      <c r="E4">
        <f t="shared" si="1"/>
        <v>39</v>
      </c>
      <c r="F4">
        <f t="shared" si="2"/>
        <v>13.611111111111111</v>
      </c>
      <c r="G4">
        <f t="shared" si="3"/>
        <v>0.61111111111111072</v>
      </c>
      <c r="H4">
        <f t="shared" si="4"/>
        <v>-0.61111111111111072</v>
      </c>
      <c r="I4">
        <f t="shared" si="5"/>
        <v>0.37345679012345628</v>
      </c>
      <c r="J4">
        <f t="shared" si="6"/>
        <v>1.8034162566067864</v>
      </c>
      <c r="K4">
        <f t="shared" si="7"/>
        <v>29.641975308641957</v>
      </c>
      <c r="L4">
        <v>2011</v>
      </c>
      <c r="P4">
        <v>40</v>
      </c>
    </row>
    <row r="5" spans="1:16">
      <c r="B5">
        <v>4</v>
      </c>
      <c r="C5">
        <f t="shared" si="0"/>
        <v>16</v>
      </c>
      <c r="D5">
        <v>16</v>
      </c>
      <c r="E5">
        <f t="shared" si="1"/>
        <v>64</v>
      </c>
      <c r="F5">
        <f t="shared" si="2"/>
        <v>16.027777777777779</v>
      </c>
      <c r="G5">
        <f t="shared" si="3"/>
        <v>2.7777777777778567E-2</v>
      </c>
      <c r="H5">
        <f t="shared" si="4"/>
        <v>-2.7777777777778567E-2</v>
      </c>
      <c r="I5">
        <f t="shared" si="5"/>
        <v>7.7160493827164881E-4</v>
      </c>
      <c r="J5">
        <f t="shared" si="6"/>
        <v>2.1236146531879916</v>
      </c>
      <c r="K5">
        <f t="shared" si="7"/>
        <v>5.9753086419753005</v>
      </c>
      <c r="L5">
        <v>2012</v>
      </c>
      <c r="P5">
        <v>44</v>
      </c>
    </row>
    <row r="6" spans="1:16">
      <c r="B6">
        <v>5</v>
      </c>
      <c r="C6">
        <f t="shared" si="0"/>
        <v>25</v>
      </c>
      <c r="D6">
        <v>18</v>
      </c>
      <c r="E6">
        <f t="shared" si="1"/>
        <v>90</v>
      </c>
      <c r="F6">
        <f t="shared" si="2"/>
        <v>18.444444444444443</v>
      </c>
      <c r="G6">
        <f t="shared" si="3"/>
        <v>0.44444444444444287</v>
      </c>
      <c r="H6">
        <f t="shared" si="4"/>
        <v>-0.44444444444444287</v>
      </c>
      <c r="I6">
        <f t="shared" si="5"/>
        <v>0.19753086419752947</v>
      </c>
      <c r="J6">
        <f t="shared" si="6"/>
        <v>2.4438130497691963</v>
      </c>
      <c r="K6">
        <f t="shared" si="7"/>
        <v>0.19753086419752947</v>
      </c>
    </row>
    <row r="7" spans="1:16">
      <c r="B7">
        <v>6</v>
      </c>
      <c r="C7">
        <f t="shared" si="0"/>
        <v>36</v>
      </c>
      <c r="D7">
        <v>19</v>
      </c>
      <c r="E7">
        <f t="shared" si="1"/>
        <v>114</v>
      </c>
      <c r="F7">
        <f t="shared" si="2"/>
        <v>20.861111111111111</v>
      </c>
      <c r="G7">
        <f t="shared" si="3"/>
        <v>1.8611111111111107</v>
      </c>
      <c r="H7">
        <f t="shared" si="4"/>
        <v>-1.8611111111111107</v>
      </c>
      <c r="I7">
        <f t="shared" si="5"/>
        <v>3.4637345679012332</v>
      </c>
      <c r="J7">
        <f t="shared" si="6"/>
        <v>2.7640114463504011</v>
      </c>
      <c r="K7">
        <f t="shared" si="7"/>
        <v>0.30864197530864373</v>
      </c>
    </row>
    <row r="8" spans="1:16">
      <c r="B8">
        <v>7</v>
      </c>
      <c r="C8">
        <f t="shared" si="0"/>
        <v>49</v>
      </c>
      <c r="D8">
        <v>20</v>
      </c>
      <c r="E8">
        <f t="shared" si="1"/>
        <v>140</v>
      </c>
      <c r="F8">
        <f t="shared" si="2"/>
        <v>23.277777777777775</v>
      </c>
      <c r="G8">
        <f t="shared" si="3"/>
        <v>3.277777777777775</v>
      </c>
      <c r="H8">
        <f t="shared" si="4"/>
        <v>-3.277777777777775</v>
      </c>
      <c r="I8">
        <f t="shared" si="5"/>
        <v>10.74382716049381</v>
      </c>
      <c r="J8">
        <f t="shared" si="6"/>
        <v>3.0842098429316058</v>
      </c>
      <c r="K8">
        <f t="shared" si="7"/>
        <v>2.4197530864197581</v>
      </c>
    </row>
    <row r="9" spans="1:16">
      <c r="B9">
        <v>8</v>
      </c>
      <c r="C9">
        <f t="shared" si="0"/>
        <v>64</v>
      </c>
      <c r="D9">
        <v>26</v>
      </c>
      <c r="E9">
        <f t="shared" si="1"/>
        <v>208</v>
      </c>
      <c r="F9">
        <f t="shared" si="2"/>
        <v>25.694444444444443</v>
      </c>
      <c r="G9">
        <f t="shared" si="3"/>
        <v>0.30555555555555713</v>
      </c>
      <c r="H9">
        <f t="shared" si="4"/>
        <v>0.30555555555555713</v>
      </c>
      <c r="I9">
        <f t="shared" si="5"/>
        <v>9.3364197530865167E-2</v>
      </c>
      <c r="J9">
        <f t="shared" si="6"/>
        <v>3.404408239512811</v>
      </c>
      <c r="K9">
        <f t="shared" si="7"/>
        <v>57.086419753086446</v>
      </c>
    </row>
    <row r="10" spans="1:16">
      <c r="B10">
        <v>9</v>
      </c>
      <c r="C10">
        <f t="shared" si="0"/>
        <v>81</v>
      </c>
      <c r="D10">
        <v>32</v>
      </c>
      <c r="E10">
        <f t="shared" si="1"/>
        <v>288</v>
      </c>
      <c r="F10">
        <f t="shared" si="2"/>
        <v>28.111111111111111</v>
      </c>
      <c r="G10">
        <f t="shared" si="3"/>
        <v>3.8888888888888893</v>
      </c>
      <c r="H10">
        <f t="shared" si="4"/>
        <v>3.8888888888888893</v>
      </c>
      <c r="I10">
        <f t="shared" si="5"/>
        <v>15.123456790123459</v>
      </c>
      <c r="J10">
        <f t="shared" si="6"/>
        <v>3.7246066360940162</v>
      </c>
      <c r="K10">
        <f t="shared" si="7"/>
        <v>183.75308641975312</v>
      </c>
    </row>
    <row r="11" spans="1:16">
      <c r="A11" t="s">
        <v>9</v>
      </c>
      <c r="C11">
        <f>SUM(C2:C10)</f>
        <v>285</v>
      </c>
      <c r="D11">
        <f>SUM(D2:D10)</f>
        <v>166</v>
      </c>
      <c r="E11">
        <f>SUM(E2:E10)</f>
        <v>975</v>
      </c>
      <c r="I11">
        <f>SUM(I2:I10)</f>
        <v>41.805555555555543</v>
      </c>
      <c r="K11">
        <f>SUM(K2:K10)</f>
        <v>392.22222222222217</v>
      </c>
    </row>
    <row r="12" spans="1:16">
      <c r="A12" t="s">
        <v>8</v>
      </c>
      <c r="B12">
        <f>AVERAGE(B2:B10)</f>
        <v>5</v>
      </c>
      <c r="C12">
        <f>AVERAGE(C2:C10)</f>
        <v>31.666666666666668</v>
      </c>
      <c r="D12">
        <f>AVERAGE(D2:D10)</f>
        <v>18.444444444444443</v>
      </c>
    </row>
    <row r="13" spans="1:16">
      <c r="A13" t="s">
        <v>7</v>
      </c>
      <c r="B13">
        <f>(E11-9*D12*B12)/(C11-9*B12^2)</f>
        <v>2.4166666666666665</v>
      </c>
    </row>
    <row r="14" spans="1:16">
      <c r="A14" t="s">
        <v>10</v>
      </c>
      <c r="B14">
        <f>D12-B13*B12</f>
        <v>6.3611111111111107</v>
      </c>
    </row>
    <row r="15" spans="1:16">
      <c r="A15" t="s">
        <v>11</v>
      </c>
      <c r="B15">
        <f>SQRT(I11/(9-2))</f>
        <v>2.4438130497691963</v>
      </c>
    </row>
    <row r="16" spans="1:16">
      <c r="A16" t="s">
        <v>12</v>
      </c>
      <c r="B16">
        <f>B15/D12</f>
        <v>0.1324958882404986</v>
      </c>
    </row>
    <row r="17" spans="1:4">
      <c r="A17" t="s">
        <v>20</v>
      </c>
      <c r="B17">
        <f>1-(I11/K11)</f>
        <v>0.8934135977337111</v>
      </c>
    </row>
    <row r="18" spans="1:4">
      <c r="A18" t="s">
        <v>23</v>
      </c>
      <c r="B18">
        <f>SUM(G2:G10)/9</f>
        <v>1.6481481481481479</v>
      </c>
    </row>
    <row r="20" spans="1:4">
      <c r="B20">
        <v>10</v>
      </c>
      <c r="D20">
        <f>$B$14+$B$13*B20</f>
        <v>30.527777777777775</v>
      </c>
    </row>
    <row r="21" spans="1:4">
      <c r="B21">
        <v>11</v>
      </c>
      <c r="D21">
        <f t="shared" ref="D21:D22" si="8">$B$14+$B$13*B21</f>
        <v>32.944444444444443</v>
      </c>
    </row>
    <row r="22" spans="1:4">
      <c r="B22">
        <v>12</v>
      </c>
      <c r="D22">
        <f t="shared" si="8"/>
        <v>35.361111111111114</v>
      </c>
    </row>
  </sheetData>
  <mergeCells count="1"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</dc:creator>
  <cp:lastModifiedBy>stud</cp:lastModifiedBy>
  <dcterms:created xsi:type="dcterms:W3CDTF">2026-09-21T10:45:45Z</dcterms:created>
  <dcterms:modified xsi:type="dcterms:W3CDTF">2026-09-21T11:47:54Z</dcterms:modified>
</cp:coreProperties>
</file>